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HH" sheetId="1" r:id="rId4"/>
  </sheets>
  <definedNames/>
  <calcPr/>
</workbook>
</file>

<file path=xl/sharedStrings.xml><?xml version="1.0" encoding="utf-8"?>
<sst xmlns="http://schemas.openxmlformats.org/spreadsheetml/2006/main" count="82" uniqueCount="38">
  <si>
    <t>DATOS OBTENIDOS DEL INEGI</t>
  </si>
  <si>
    <t>Sector Manufacturero/Región</t>
  </si>
  <si>
    <t>Baja California</t>
  </si>
  <si>
    <t>Baja California Sur</t>
  </si>
  <si>
    <t>Chihuahua</t>
  </si>
  <si>
    <t xml:space="preserve"> Coahuila</t>
  </si>
  <si>
    <t>Durango</t>
  </si>
  <si>
    <t>Nuevo León</t>
  </si>
  <si>
    <t>Sinaloa</t>
  </si>
  <si>
    <t>Sonora</t>
  </si>
  <si>
    <t>Tamaulipas</t>
  </si>
  <si>
    <t>Total del sector</t>
  </si>
  <si>
    <t>Sector 11 Agricultura, cría y explotación de animales, aprovechamiento forestal, pesca y caza</t>
  </si>
  <si>
    <t>Sector 21 Minería</t>
  </si>
  <si>
    <t>Sector 22 Generación, transmisión, distribución y comercialización de energía eléctrica, suministro de agua y de gas natural por ductos al consumidor final</t>
  </si>
  <si>
    <t/>
  </si>
  <si>
    <t>Sector 23 Construcción</t>
  </si>
  <si>
    <t>Sector 31-33 Industrias manufactureras</t>
  </si>
  <si>
    <t>Sector 43 Comercio al por mayor</t>
  </si>
  <si>
    <t>Sector 46 Comercio al por menor</t>
  </si>
  <si>
    <t>Sector 48-49 Transportes, correos y almacenamiento</t>
  </si>
  <si>
    <t>Sector 51 Información en medios masivos</t>
  </si>
  <si>
    <t>Sector 52 Servicios financieros y de seguros</t>
  </si>
  <si>
    <t>Sector 53 Servicios inmobiliarios y de alquiler de bienes muebles e intangibles</t>
  </si>
  <si>
    <t>Sector 54 Servicios profesionales, científicos y técnicos</t>
  </si>
  <si>
    <t>Sector 55 Corporativos</t>
  </si>
  <si>
    <t>Sector 56 Servicios de apoyo a los negocios y manejo de residuos, y servicios de remediación</t>
  </si>
  <si>
    <t>Sector 61 Servicios educativos</t>
  </si>
  <si>
    <t>Sector 62 Servicios de salud y de asistencia social</t>
  </si>
  <si>
    <t>Sector 71 Servicios de esparcimiento culturales y deportivos, y otros servicios recreativos</t>
  </si>
  <si>
    <t>Sector 72 Servicios de alojamiento temporal y de preparación de alimentos y bebidas</t>
  </si>
  <si>
    <t>Sector 81 Otros servicios excepto actividades gubernamentales</t>
  </si>
  <si>
    <t>TOTAL REGIONAL</t>
  </si>
  <si>
    <t xml:space="preserve">Coeficiente de Localización </t>
  </si>
  <si>
    <t>IHH</t>
  </si>
  <si>
    <t>INDICES</t>
  </si>
  <si>
    <t>Concentración IHH</t>
  </si>
  <si>
    <t xml:space="preserve">Diversificación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</si>
</sst>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0000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2" fontId="4" numFmtId="0" xfId="0" applyAlignment="1" applyBorder="1" applyFill="1" applyFont="1">
      <alignment horizontal="center" readingOrder="0"/>
    </xf>
    <xf borderId="1" fillId="2" fontId="5" numFmtId="0" xfId="0" applyAlignment="1" applyBorder="1" applyFont="1">
      <alignment vertical="bottom"/>
    </xf>
    <xf borderId="1" fillId="2" fontId="1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vertical="bottom" wrapText="1"/>
    </xf>
    <xf borderId="1" fillId="0" fontId="5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0" fillId="4" fontId="1" numFmtId="0" xfId="0" applyAlignment="1" applyFill="1" applyFont="1">
      <alignment readingOrder="0"/>
    </xf>
    <xf borderId="1" fillId="4" fontId="1" numFmtId="0" xfId="0" applyAlignment="1" applyBorder="1" applyFont="1">
      <alignment readingOrder="0"/>
    </xf>
    <xf borderId="0" fillId="0" fontId="6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2" fillId="5" fontId="1" numFmtId="164" xfId="0" applyAlignment="1" applyBorder="1" applyFill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1" fillId="2" fontId="4" numFmtId="0" xfId="0" applyAlignment="1" applyBorder="1" applyFont="1">
      <alignment readingOrder="0"/>
    </xf>
    <xf borderId="1" fillId="0" fontId="1" numFmtId="2" xfId="0" applyBorder="1" applyFont="1" applyNumberFormat="1"/>
    <xf borderId="0" fillId="0" fontId="6" numFmtId="0" xfId="0" applyAlignment="1" applyFont="1">
      <alignment horizontal="righ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11.88"/>
    <col customWidth="1" min="3" max="3" width="14.88"/>
    <col customWidth="1" min="4" max="4" width="10.75"/>
    <col customWidth="1" min="5" max="5" width="10.38"/>
    <col customWidth="1" min="6" max="6" width="10.5"/>
    <col customWidth="1" min="7" max="7" width="10.0"/>
    <col customWidth="1" min="8" max="8" width="9.0"/>
    <col customWidth="1" min="9" max="9" width="8.13"/>
    <col customWidth="1" min="10" max="10" width="9.5"/>
    <col customWidth="1" min="11" max="11" width="12.25"/>
    <col customWidth="1" min="12" max="12" width="6.75"/>
    <col customWidth="1" min="13" max="13" width="22.13"/>
  </cols>
  <sheetData>
    <row r="1">
      <c r="A1" s="1" t="s">
        <v>0</v>
      </c>
      <c r="M1" s="2"/>
    </row>
    <row r="2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</row>
    <row r="3">
      <c r="A3" s="7" t="s">
        <v>12</v>
      </c>
      <c r="B3" s="8">
        <v>7230.0</v>
      </c>
      <c r="C3" s="8">
        <v>7239.0</v>
      </c>
      <c r="D3" s="8">
        <v>1558.0</v>
      </c>
      <c r="E3" s="8">
        <v>577.0</v>
      </c>
      <c r="F3" s="8">
        <v>459.0</v>
      </c>
      <c r="G3" s="8">
        <v>274.0</v>
      </c>
      <c r="H3" s="8">
        <v>34228.0</v>
      </c>
      <c r="I3" s="8">
        <v>28754.0</v>
      </c>
      <c r="J3" s="8">
        <v>6948.0</v>
      </c>
      <c r="K3" s="9">
        <f t="shared" ref="K3:K22" si="1">SUM(B3:J3)</f>
        <v>87267</v>
      </c>
    </row>
    <row r="4">
      <c r="A4" s="7" t="s">
        <v>13</v>
      </c>
      <c r="B4" s="8">
        <v>913.0</v>
      </c>
      <c r="C4" s="8">
        <v>4061.0</v>
      </c>
      <c r="D4" s="8">
        <v>17124.0</v>
      </c>
      <c r="E4" s="8">
        <v>17114.0</v>
      </c>
      <c r="F4" s="8">
        <v>13888.0</v>
      </c>
      <c r="G4" s="8">
        <v>3034.0</v>
      </c>
      <c r="H4" s="8">
        <v>2800.0</v>
      </c>
      <c r="I4" s="8">
        <v>20351.0</v>
      </c>
      <c r="J4" s="8">
        <v>2681.0</v>
      </c>
      <c r="K4" s="9">
        <f t="shared" si="1"/>
        <v>81966</v>
      </c>
    </row>
    <row r="5">
      <c r="A5" s="7" t="s">
        <v>14</v>
      </c>
      <c r="B5" s="10" t="s">
        <v>15</v>
      </c>
      <c r="C5" s="8">
        <v>1752.0</v>
      </c>
      <c r="D5" s="8">
        <v>4774.0</v>
      </c>
      <c r="E5" s="8">
        <v>3306.0</v>
      </c>
      <c r="F5" s="8">
        <v>1765.0</v>
      </c>
      <c r="G5" s="8">
        <v>7801.0</v>
      </c>
      <c r="H5" s="8">
        <v>4139.0</v>
      </c>
      <c r="I5" s="8">
        <v>6771.0</v>
      </c>
      <c r="J5" s="8">
        <v>5972.0</v>
      </c>
      <c r="K5" s="9">
        <f t="shared" si="1"/>
        <v>36280</v>
      </c>
    </row>
    <row r="6">
      <c r="A6" s="7" t="s">
        <v>16</v>
      </c>
      <c r="B6" s="8">
        <v>20840.0</v>
      </c>
      <c r="C6" s="8">
        <v>11389.0</v>
      </c>
      <c r="D6" s="8">
        <v>20965.0</v>
      </c>
      <c r="E6" s="8">
        <v>26645.0</v>
      </c>
      <c r="F6" s="8">
        <v>9618.0</v>
      </c>
      <c r="G6" s="8">
        <v>51913.0</v>
      </c>
      <c r="H6" s="8">
        <v>28234.0</v>
      </c>
      <c r="I6" s="8">
        <v>26268.0</v>
      </c>
      <c r="J6" s="8">
        <v>17846.0</v>
      </c>
      <c r="K6" s="9">
        <f t="shared" si="1"/>
        <v>213718</v>
      </c>
    </row>
    <row r="7">
      <c r="A7" s="7" t="s">
        <v>17</v>
      </c>
      <c r="B7" s="8">
        <v>422816.0</v>
      </c>
      <c r="C7" s="8">
        <v>12106.0</v>
      </c>
      <c r="D7" s="8">
        <v>502532.0</v>
      </c>
      <c r="E7" s="8">
        <v>405912.0</v>
      </c>
      <c r="F7" s="8">
        <v>94662.0</v>
      </c>
      <c r="G7" s="8">
        <v>548255.0</v>
      </c>
      <c r="H7" s="8">
        <v>79115.0</v>
      </c>
      <c r="I7" s="8">
        <v>225439.0</v>
      </c>
      <c r="J7" s="8">
        <v>323720.0</v>
      </c>
      <c r="K7" s="9">
        <f t="shared" si="1"/>
        <v>2614557</v>
      </c>
    </row>
    <row r="8">
      <c r="A8" s="7" t="s">
        <v>18</v>
      </c>
      <c r="B8" s="8">
        <v>51972.0</v>
      </c>
      <c r="C8" s="8">
        <v>12057.0</v>
      </c>
      <c r="D8" s="8">
        <v>46104.0</v>
      </c>
      <c r="E8" s="8">
        <v>39440.0</v>
      </c>
      <c r="F8" s="8">
        <v>17883.0</v>
      </c>
      <c r="G8" s="8">
        <v>114452.0</v>
      </c>
      <c r="H8" s="8">
        <v>46308.0</v>
      </c>
      <c r="I8" s="8">
        <v>43365.0</v>
      </c>
      <c r="J8" s="8">
        <v>32014.0</v>
      </c>
      <c r="K8" s="9">
        <f t="shared" si="1"/>
        <v>403595</v>
      </c>
    </row>
    <row r="9">
      <c r="A9" s="7" t="s">
        <v>19</v>
      </c>
      <c r="B9" s="8">
        <v>173817.0</v>
      </c>
      <c r="C9" s="8">
        <v>44805.0</v>
      </c>
      <c r="D9" s="8">
        <v>167133.0</v>
      </c>
      <c r="E9" s="8">
        <v>145125.0</v>
      </c>
      <c r="F9" s="8">
        <v>71229.0</v>
      </c>
      <c r="G9" s="8">
        <v>263296.0</v>
      </c>
      <c r="H9" s="8">
        <v>152383.0</v>
      </c>
      <c r="I9" s="8">
        <v>142459.0</v>
      </c>
      <c r="J9" s="8">
        <v>153444.0</v>
      </c>
      <c r="K9" s="9">
        <f t="shared" si="1"/>
        <v>1313691</v>
      </c>
    </row>
    <row r="10">
      <c r="A10" s="7" t="s">
        <v>20</v>
      </c>
      <c r="B10" s="8">
        <v>34113.0</v>
      </c>
      <c r="C10" s="8">
        <v>7932.0</v>
      </c>
      <c r="D10" s="8">
        <v>28778.0</v>
      </c>
      <c r="E10" s="8">
        <v>28079.0</v>
      </c>
      <c r="F10" s="8">
        <v>13468.0</v>
      </c>
      <c r="G10" s="8">
        <v>91880.0</v>
      </c>
      <c r="H10" s="8">
        <v>24974.0</v>
      </c>
      <c r="I10" s="8">
        <v>18025.0</v>
      </c>
      <c r="J10" s="8">
        <v>52764.0</v>
      </c>
      <c r="K10" s="9">
        <f t="shared" si="1"/>
        <v>300013</v>
      </c>
    </row>
    <row r="11">
      <c r="A11" s="7" t="s">
        <v>21</v>
      </c>
      <c r="B11" s="8">
        <v>6024.0</v>
      </c>
      <c r="C11" s="8">
        <v>1449.0</v>
      </c>
      <c r="D11" s="8">
        <v>8744.0</v>
      </c>
      <c r="E11" s="8">
        <v>5146.0</v>
      </c>
      <c r="F11" s="8">
        <v>1546.0</v>
      </c>
      <c r="G11" s="8">
        <v>22313.0</v>
      </c>
      <c r="H11" s="8">
        <v>3928.0</v>
      </c>
      <c r="I11" s="8">
        <v>4503.0</v>
      </c>
      <c r="J11" s="8">
        <v>7413.0</v>
      </c>
      <c r="K11" s="9">
        <f t="shared" si="1"/>
        <v>61066</v>
      </c>
    </row>
    <row r="12">
      <c r="A12" s="7" t="s">
        <v>22</v>
      </c>
      <c r="B12" s="8">
        <v>6434.0</v>
      </c>
      <c r="C12" s="8">
        <v>1078.0</v>
      </c>
      <c r="D12" s="8">
        <v>5041.0</v>
      </c>
      <c r="E12" s="8">
        <v>10950.0</v>
      </c>
      <c r="F12" s="8">
        <v>2439.0</v>
      </c>
      <c r="G12" s="8">
        <v>72552.0</v>
      </c>
      <c r="H12" s="8">
        <v>6293.0</v>
      </c>
      <c r="I12" s="8">
        <v>6987.0</v>
      </c>
      <c r="J12" s="8">
        <v>6410.0</v>
      </c>
      <c r="K12" s="9">
        <f t="shared" si="1"/>
        <v>118184</v>
      </c>
    </row>
    <row r="13">
      <c r="A13" s="7" t="s">
        <v>23</v>
      </c>
      <c r="B13" s="8">
        <v>11700.0</v>
      </c>
      <c r="C13" s="8">
        <v>7365.0</v>
      </c>
      <c r="D13" s="8">
        <v>8324.0</v>
      </c>
      <c r="E13" s="8">
        <v>8098.0</v>
      </c>
      <c r="F13" s="8">
        <v>2861.0</v>
      </c>
      <c r="G13" s="8">
        <v>26089.0</v>
      </c>
      <c r="H13" s="8">
        <v>8922.0</v>
      </c>
      <c r="I13" s="8">
        <v>9527.0</v>
      </c>
      <c r="J13" s="8">
        <v>6685.0</v>
      </c>
      <c r="K13" s="9">
        <f t="shared" si="1"/>
        <v>89571</v>
      </c>
    </row>
    <row r="14">
      <c r="A14" s="7" t="s">
        <v>24</v>
      </c>
      <c r="B14" s="8">
        <v>24079.0</v>
      </c>
      <c r="C14" s="8">
        <v>6177.0</v>
      </c>
      <c r="D14" s="8">
        <v>17399.0</v>
      </c>
      <c r="E14" s="8">
        <v>18507.0</v>
      </c>
      <c r="F14" s="8">
        <v>6840.0</v>
      </c>
      <c r="G14" s="8">
        <v>74144.0</v>
      </c>
      <c r="H14" s="8">
        <v>21152.0</v>
      </c>
      <c r="I14" s="8">
        <v>18269.0</v>
      </c>
      <c r="J14" s="8">
        <v>12862.0</v>
      </c>
      <c r="K14" s="9">
        <f t="shared" si="1"/>
        <v>199429</v>
      </c>
    </row>
    <row r="15">
      <c r="A15" s="7" t="s">
        <v>25</v>
      </c>
      <c r="B15" s="8">
        <v>0.0</v>
      </c>
      <c r="C15" s="8">
        <v>0.0</v>
      </c>
      <c r="D15" s="8">
        <v>390.0</v>
      </c>
      <c r="E15" s="8">
        <v>407.0</v>
      </c>
      <c r="F15" s="8">
        <v>372.0</v>
      </c>
      <c r="G15" s="8">
        <v>7540.0</v>
      </c>
      <c r="H15" s="8">
        <v>387.0</v>
      </c>
      <c r="I15" s="8">
        <v>226.0</v>
      </c>
      <c r="J15" s="8">
        <v>20.0</v>
      </c>
      <c r="K15" s="9">
        <f t="shared" si="1"/>
        <v>9342</v>
      </c>
    </row>
    <row r="16">
      <c r="A16" s="7" t="s">
        <v>26</v>
      </c>
      <c r="B16" s="8">
        <v>56410.0</v>
      </c>
      <c r="C16" s="8">
        <v>19517.0</v>
      </c>
      <c r="D16" s="8">
        <v>54807.0</v>
      </c>
      <c r="E16" s="8">
        <v>105566.0</v>
      </c>
      <c r="F16" s="8">
        <v>26727.0</v>
      </c>
      <c r="G16" s="8">
        <v>232448.0</v>
      </c>
      <c r="H16" s="8">
        <v>49634.0</v>
      </c>
      <c r="I16" s="8">
        <v>73583.0</v>
      </c>
      <c r="J16" s="8">
        <v>30926.0</v>
      </c>
      <c r="K16" s="9">
        <f t="shared" si="1"/>
        <v>649618</v>
      </c>
    </row>
    <row r="17">
      <c r="A17" s="7" t="s">
        <v>27</v>
      </c>
      <c r="B17" s="8">
        <v>27258.0</v>
      </c>
      <c r="C17" s="8">
        <v>5309.0</v>
      </c>
      <c r="D17" s="8">
        <v>18222.0</v>
      </c>
      <c r="E17" s="8">
        <v>25519.0</v>
      </c>
      <c r="F17" s="8">
        <v>7465.0</v>
      </c>
      <c r="G17" s="8">
        <v>48300.0</v>
      </c>
      <c r="H17" s="8">
        <v>17002.0</v>
      </c>
      <c r="I17" s="8">
        <v>22508.0</v>
      </c>
      <c r="J17" s="8">
        <v>24747.0</v>
      </c>
      <c r="K17" s="9">
        <f t="shared" si="1"/>
        <v>196330</v>
      </c>
    </row>
    <row r="18">
      <c r="A18" s="7" t="s">
        <v>28</v>
      </c>
      <c r="B18" s="8">
        <v>32361.0</v>
      </c>
      <c r="C18" s="8">
        <v>5578.0</v>
      </c>
      <c r="D18" s="8">
        <v>27385.0</v>
      </c>
      <c r="E18" s="8">
        <v>21427.0</v>
      </c>
      <c r="F18" s="8">
        <v>8795.0</v>
      </c>
      <c r="G18" s="8">
        <v>41652.0</v>
      </c>
      <c r="H18" s="8">
        <v>22852.0</v>
      </c>
      <c r="I18" s="8">
        <v>24992.0</v>
      </c>
      <c r="J18" s="8">
        <v>20148.0</v>
      </c>
      <c r="K18" s="9">
        <f t="shared" si="1"/>
        <v>205190</v>
      </c>
    </row>
    <row r="19">
      <c r="A19" s="7" t="s">
        <v>29</v>
      </c>
      <c r="B19" s="8">
        <v>10585.0</v>
      </c>
      <c r="C19" s="8">
        <v>3196.0</v>
      </c>
      <c r="D19" s="8">
        <v>6906.0</v>
      </c>
      <c r="E19" s="8">
        <v>5827.0</v>
      </c>
      <c r="F19" s="8">
        <v>2117.0</v>
      </c>
      <c r="G19" s="8">
        <v>17714.0</v>
      </c>
      <c r="H19" s="8">
        <v>8011.0</v>
      </c>
      <c r="I19" s="8">
        <v>6976.0</v>
      </c>
      <c r="J19" s="8">
        <v>4638.0</v>
      </c>
      <c r="K19" s="9">
        <f t="shared" si="1"/>
        <v>65970</v>
      </c>
    </row>
    <row r="20">
      <c r="A20" s="7" t="s">
        <v>30</v>
      </c>
      <c r="B20" s="8">
        <v>85870.0</v>
      </c>
      <c r="C20" s="8">
        <v>60871.0</v>
      </c>
      <c r="D20" s="8">
        <v>63780.0</v>
      </c>
      <c r="E20" s="8">
        <v>54602.0</v>
      </c>
      <c r="F20" s="8">
        <v>26886.0</v>
      </c>
      <c r="G20" s="8">
        <v>107155.0</v>
      </c>
      <c r="H20" s="8">
        <v>71859.0</v>
      </c>
      <c r="I20" s="8">
        <v>57432.0</v>
      </c>
      <c r="J20" s="8">
        <v>58235.0</v>
      </c>
      <c r="K20" s="9">
        <f t="shared" si="1"/>
        <v>586690</v>
      </c>
    </row>
    <row r="21">
      <c r="A21" s="7" t="s">
        <v>31</v>
      </c>
      <c r="B21" s="8">
        <v>57527.0</v>
      </c>
      <c r="C21" s="8">
        <v>13136.0</v>
      </c>
      <c r="D21" s="8">
        <v>49281.0</v>
      </c>
      <c r="E21" s="8">
        <v>40665.0</v>
      </c>
      <c r="F21" s="8">
        <v>20955.0</v>
      </c>
      <c r="G21" s="8">
        <v>73153.0</v>
      </c>
      <c r="H21" s="8">
        <v>44144.0</v>
      </c>
      <c r="I21" s="8">
        <v>44929.0</v>
      </c>
      <c r="J21" s="8">
        <v>49132.0</v>
      </c>
      <c r="K21" s="9">
        <f t="shared" si="1"/>
        <v>392922</v>
      </c>
    </row>
    <row r="22">
      <c r="A22" s="11" t="s">
        <v>32</v>
      </c>
      <c r="B22" s="12">
        <f t="shared" ref="B22:J22" si="2">SUM(B3:B21)</f>
        <v>1029949</v>
      </c>
      <c r="C22" s="12">
        <f t="shared" si="2"/>
        <v>225017</v>
      </c>
      <c r="D22" s="12">
        <f t="shared" si="2"/>
        <v>1049247</v>
      </c>
      <c r="E22" s="12">
        <f t="shared" si="2"/>
        <v>962912</v>
      </c>
      <c r="F22" s="12">
        <f t="shared" si="2"/>
        <v>329975</v>
      </c>
      <c r="G22" s="12">
        <f t="shared" si="2"/>
        <v>1803965</v>
      </c>
      <c r="H22" s="12">
        <f t="shared" si="2"/>
        <v>626365</v>
      </c>
      <c r="I22" s="12">
        <f t="shared" si="2"/>
        <v>781364</v>
      </c>
      <c r="J22" s="12">
        <f t="shared" si="2"/>
        <v>816605</v>
      </c>
      <c r="K22" s="12">
        <f t="shared" si="1"/>
        <v>7625399</v>
      </c>
    </row>
    <row r="23">
      <c r="A23" s="13"/>
      <c r="B23" s="13"/>
      <c r="C23" s="13"/>
      <c r="D23" s="13"/>
      <c r="E23" s="13"/>
      <c r="F23" s="13"/>
      <c r="G23" s="13"/>
      <c r="H23" s="13"/>
      <c r="J23" s="13"/>
      <c r="K23" s="13"/>
    </row>
    <row r="24">
      <c r="A24" s="1" t="s">
        <v>33</v>
      </c>
    </row>
    <row r="25">
      <c r="A25" s="3" t="s">
        <v>1</v>
      </c>
      <c r="B25" s="4" t="str">
        <f t="shared" ref="B25:K25" si="3">B2</f>
        <v>Baja California</v>
      </c>
      <c r="C25" s="4" t="str">
        <f t="shared" si="3"/>
        <v>Baja California Sur</v>
      </c>
      <c r="D25" s="4" t="str">
        <f t="shared" si="3"/>
        <v>Chihuahua</v>
      </c>
      <c r="E25" s="4" t="str">
        <f t="shared" si="3"/>
        <v> Coahuila</v>
      </c>
      <c r="F25" s="4" t="str">
        <f t="shared" si="3"/>
        <v>Durango</v>
      </c>
      <c r="G25" s="4" t="str">
        <f t="shared" si="3"/>
        <v>Nuevo León</v>
      </c>
      <c r="H25" s="4" t="str">
        <f t="shared" si="3"/>
        <v>Sinaloa</v>
      </c>
      <c r="I25" s="4" t="str">
        <f t="shared" si="3"/>
        <v>Sonora</v>
      </c>
      <c r="J25" s="4" t="str">
        <f t="shared" si="3"/>
        <v>Tamaulipas</v>
      </c>
      <c r="K25" s="4" t="str">
        <f t="shared" si="3"/>
        <v>Total del sector</v>
      </c>
    </row>
    <row r="26">
      <c r="A26" s="7" t="s">
        <v>12</v>
      </c>
      <c r="B26" s="14">
        <f t="shared" ref="B26:B45" si="4">(B3/$B$22)/(K3/$K$22)</f>
        <v>0.6133877576</v>
      </c>
      <c r="C26" s="14">
        <f t="shared" ref="C26:C45" si="5">(C3/$C$22)/(K3/$K$22)</f>
        <v>2.811096621</v>
      </c>
      <c r="D26" s="14">
        <f t="shared" ref="D26:D45" si="6">(D3/$D$22)/(K3/$K$22)</f>
        <v>0.1297484696</v>
      </c>
      <c r="E26" s="14">
        <f t="shared" ref="E26:E45" si="7">(E3/$E$22)/(K3/$K$22)</f>
        <v>0.05236025355</v>
      </c>
      <c r="F26" s="14">
        <f t="shared" ref="F26:F45" si="8">(F3/$F$22)/(K3/$K$22)</f>
        <v>0.1215469806</v>
      </c>
      <c r="G26" s="14">
        <f t="shared" ref="G26:G45" si="9">(G3/$G$22)/(K3/K$22)</f>
        <v>0.0132719575</v>
      </c>
      <c r="H26" s="14">
        <f t="shared" ref="H26:H45" si="10">(H3/$H$22)/(K3/$K$22)</f>
        <v>4.774925147</v>
      </c>
      <c r="I26" s="14">
        <f t="shared" ref="I26:I45" si="11">(I3/$I$22)/(K3/$K$22)</f>
        <v>3.215565772</v>
      </c>
      <c r="J26" s="14">
        <f t="shared" ref="J26:J45" si="12">(J3/$J$22)/(K3/$K$22)</f>
        <v>0.7434646126</v>
      </c>
      <c r="K26" s="14">
        <f t="shared" ref="K26:K45" si="13">SUM(B26:J26)</f>
        <v>12.47536757</v>
      </c>
    </row>
    <row r="27">
      <c r="A27" s="7" t="s">
        <v>13</v>
      </c>
      <c r="B27" s="14">
        <f t="shared" si="4"/>
        <v>0.08246770119</v>
      </c>
      <c r="C27" s="14">
        <f t="shared" si="5"/>
        <v>1.678983742</v>
      </c>
      <c r="D27" s="14">
        <f t="shared" si="6"/>
        <v>1.518295533</v>
      </c>
      <c r="E27" s="14">
        <f t="shared" si="7"/>
        <v>1.653460255</v>
      </c>
      <c r="F27" s="14">
        <f t="shared" si="8"/>
        <v>3.915502465</v>
      </c>
      <c r="G27" s="14">
        <f t="shared" si="9"/>
        <v>0.1564646744</v>
      </c>
      <c r="H27" s="14">
        <f t="shared" si="10"/>
        <v>0.4158717123</v>
      </c>
      <c r="I27" s="14">
        <f t="shared" si="11"/>
        <v>2.42304337</v>
      </c>
      <c r="J27" s="14">
        <f t="shared" si="12"/>
        <v>0.3054313492</v>
      </c>
      <c r="K27" s="14">
        <f t="shared" si="13"/>
        <v>12.1495208</v>
      </c>
    </row>
    <row r="28">
      <c r="A28" s="7" t="s">
        <v>14</v>
      </c>
      <c r="B28" s="14">
        <f t="shared" si="4"/>
        <v>0</v>
      </c>
      <c r="C28" s="14">
        <f t="shared" si="5"/>
        <v>1.636492677</v>
      </c>
      <c r="D28" s="14">
        <f t="shared" si="6"/>
        <v>0.95631281</v>
      </c>
      <c r="E28" s="14">
        <f t="shared" si="7"/>
        <v>0.7216249576</v>
      </c>
      <c r="F28" s="14">
        <f t="shared" si="8"/>
        <v>1.124239828</v>
      </c>
      <c r="G28" s="14">
        <f t="shared" si="9"/>
        <v>0.9089028504</v>
      </c>
      <c r="H28" s="14">
        <f t="shared" si="10"/>
        <v>1.38887525</v>
      </c>
      <c r="I28" s="14">
        <f t="shared" si="11"/>
        <v>1.821355454</v>
      </c>
      <c r="J28" s="14">
        <f t="shared" si="12"/>
        <v>1.537103315</v>
      </c>
      <c r="K28" s="14">
        <f t="shared" si="13"/>
        <v>10.09490714</v>
      </c>
    </row>
    <row r="29">
      <c r="A29" s="7" t="s">
        <v>16</v>
      </c>
      <c r="B29" s="14">
        <f t="shared" si="4"/>
        <v>0.7219439248</v>
      </c>
      <c r="C29" s="14">
        <f t="shared" si="5"/>
        <v>1.805891835</v>
      </c>
      <c r="D29" s="14">
        <f t="shared" si="6"/>
        <v>0.7129163951</v>
      </c>
      <c r="E29" s="14">
        <f t="shared" si="7"/>
        <v>0.9873033199</v>
      </c>
      <c r="F29" s="14">
        <f t="shared" si="8"/>
        <v>1.039980526</v>
      </c>
      <c r="G29" s="14">
        <f t="shared" si="9"/>
        <v>1.026761301</v>
      </c>
      <c r="H29" s="14">
        <f t="shared" si="10"/>
        <v>1.608297548</v>
      </c>
      <c r="I29" s="14">
        <f t="shared" si="11"/>
        <v>1.199485718</v>
      </c>
      <c r="J29" s="14">
        <f t="shared" si="12"/>
        <v>0.7797409192</v>
      </c>
      <c r="K29" s="14">
        <f t="shared" si="13"/>
        <v>9.882321488</v>
      </c>
    </row>
    <row r="30">
      <c r="A30" s="7" t="s">
        <v>17</v>
      </c>
      <c r="B30" s="14">
        <f t="shared" si="4"/>
        <v>1.197292196</v>
      </c>
      <c r="C30" s="14">
        <f t="shared" si="5"/>
        <v>0.1569097022</v>
      </c>
      <c r="D30" s="14">
        <f t="shared" si="6"/>
        <v>1.396852162</v>
      </c>
      <c r="E30" s="14">
        <f t="shared" si="7"/>
        <v>1.229446827</v>
      </c>
      <c r="F30" s="14">
        <f t="shared" si="8"/>
        <v>0.8366794402</v>
      </c>
      <c r="G30" s="14">
        <f t="shared" si="9"/>
        <v>0.8863779681</v>
      </c>
      <c r="H30" s="14">
        <f t="shared" si="10"/>
        <v>0.368379801</v>
      </c>
      <c r="I30" s="14">
        <f t="shared" si="11"/>
        <v>0.841472854</v>
      </c>
      <c r="J30" s="14">
        <f t="shared" si="12"/>
        <v>1.156170691</v>
      </c>
      <c r="K30" s="14">
        <f t="shared" si="13"/>
        <v>8.069581642</v>
      </c>
    </row>
    <row r="31">
      <c r="A31" s="7" t="s">
        <v>18</v>
      </c>
      <c r="B31" s="14">
        <f t="shared" si="4"/>
        <v>0.953389809</v>
      </c>
      <c r="C31" s="14">
        <f t="shared" si="5"/>
        <v>1.012373402</v>
      </c>
      <c r="D31" s="14">
        <f t="shared" si="6"/>
        <v>0.830190322</v>
      </c>
      <c r="E31" s="14">
        <f t="shared" si="7"/>
        <v>0.7738683822</v>
      </c>
      <c r="F31" s="14">
        <f t="shared" si="8"/>
        <v>1.023943833</v>
      </c>
      <c r="G31" s="14">
        <f t="shared" si="9"/>
        <v>1.198704332</v>
      </c>
      <c r="H31" s="14">
        <f t="shared" si="10"/>
        <v>1.396835739</v>
      </c>
      <c r="I31" s="14">
        <f t="shared" si="11"/>
        <v>1.048582846</v>
      </c>
      <c r="J31" s="14">
        <f t="shared" si="12"/>
        <v>0.74070402</v>
      </c>
      <c r="K31" s="14">
        <f t="shared" si="13"/>
        <v>8.978592686</v>
      </c>
    </row>
    <row r="32">
      <c r="A32" s="7" t="s">
        <v>19</v>
      </c>
      <c r="B32" s="14">
        <f t="shared" si="4"/>
        <v>0.9795934627</v>
      </c>
      <c r="C32" s="14">
        <f t="shared" si="5"/>
        <v>1.155794171</v>
      </c>
      <c r="D32" s="14">
        <f t="shared" si="6"/>
        <v>0.9245998552</v>
      </c>
      <c r="E32" s="14">
        <f t="shared" si="7"/>
        <v>0.8748326482</v>
      </c>
      <c r="F32" s="14">
        <f t="shared" si="8"/>
        <v>1.252982941</v>
      </c>
      <c r="G32" s="14">
        <f t="shared" si="9"/>
        <v>0.847199133</v>
      </c>
      <c r="H32" s="14">
        <f t="shared" si="10"/>
        <v>1.412142051</v>
      </c>
      <c r="I32" s="14">
        <f t="shared" si="11"/>
        <v>1.058292801</v>
      </c>
      <c r="J32" s="14">
        <f t="shared" si="12"/>
        <v>1.090704802</v>
      </c>
      <c r="K32" s="14">
        <f t="shared" si="13"/>
        <v>9.596141865</v>
      </c>
    </row>
    <row r="33">
      <c r="A33" s="7" t="s">
        <v>20</v>
      </c>
      <c r="B33" s="14">
        <f t="shared" si="4"/>
        <v>0.8418344484</v>
      </c>
      <c r="C33" s="14">
        <f t="shared" si="5"/>
        <v>0.8959625862</v>
      </c>
      <c r="D33" s="14">
        <f t="shared" si="6"/>
        <v>0.697116515</v>
      </c>
      <c r="E33" s="14">
        <f t="shared" si="7"/>
        <v>0.7411694965</v>
      </c>
      <c r="F33" s="14">
        <f t="shared" si="8"/>
        <v>1.037396001</v>
      </c>
      <c r="G33" s="14">
        <f t="shared" si="9"/>
        <v>1.294539715</v>
      </c>
      <c r="H33" s="14">
        <f t="shared" si="10"/>
        <v>1.013405191</v>
      </c>
      <c r="I33" s="14">
        <f t="shared" si="11"/>
        <v>0.5863330499</v>
      </c>
      <c r="J33" s="14">
        <f t="shared" si="12"/>
        <v>1.642283677</v>
      </c>
      <c r="K33" s="14">
        <f t="shared" si="13"/>
        <v>8.75004068</v>
      </c>
    </row>
    <row r="34">
      <c r="A34" s="7" t="s">
        <v>21</v>
      </c>
      <c r="B34" s="14">
        <f t="shared" si="4"/>
        <v>0.7303522015</v>
      </c>
      <c r="C34" s="14">
        <f t="shared" si="5"/>
        <v>0.8041112811</v>
      </c>
      <c r="D34" s="14">
        <f t="shared" si="6"/>
        <v>1.040628013</v>
      </c>
      <c r="E34" s="14">
        <f t="shared" si="7"/>
        <v>0.6673386564</v>
      </c>
      <c r="F34" s="14">
        <f t="shared" si="8"/>
        <v>0.5850480711</v>
      </c>
      <c r="G34" s="14">
        <f t="shared" si="9"/>
        <v>1.544517943</v>
      </c>
      <c r="H34" s="14">
        <f t="shared" si="10"/>
        <v>0.7830817391</v>
      </c>
      <c r="I34" s="14">
        <f t="shared" si="11"/>
        <v>0.7196339582</v>
      </c>
      <c r="J34" s="14">
        <f t="shared" si="12"/>
        <v>1.133561442</v>
      </c>
      <c r="K34" s="14">
        <f t="shared" si="13"/>
        <v>8.008273305</v>
      </c>
    </row>
    <row r="35">
      <c r="A35" s="7" t="s">
        <v>22</v>
      </c>
      <c r="B35" s="14">
        <f t="shared" si="4"/>
        <v>0.4030595583</v>
      </c>
      <c r="C35" s="14">
        <f t="shared" si="5"/>
        <v>0.3091059173</v>
      </c>
      <c r="D35" s="14">
        <f t="shared" si="6"/>
        <v>0.3099865492</v>
      </c>
      <c r="E35" s="14">
        <f t="shared" si="7"/>
        <v>0.7337217758</v>
      </c>
      <c r="F35" s="14">
        <f t="shared" si="8"/>
        <v>0.4769080477</v>
      </c>
      <c r="G35" s="14">
        <f t="shared" si="9"/>
        <v>2.59492715</v>
      </c>
      <c r="H35" s="14">
        <f t="shared" si="10"/>
        <v>0.6482374803</v>
      </c>
      <c r="I35" s="14">
        <f t="shared" si="11"/>
        <v>0.5769540597</v>
      </c>
      <c r="J35" s="14">
        <f t="shared" si="12"/>
        <v>0.5064655188</v>
      </c>
      <c r="K35" s="14">
        <f t="shared" si="13"/>
        <v>6.559366057</v>
      </c>
    </row>
    <row r="36">
      <c r="A36" s="7" t="s">
        <v>23</v>
      </c>
      <c r="B36" s="14">
        <f t="shared" si="4"/>
        <v>0.9670864353</v>
      </c>
      <c r="C36" s="14">
        <f t="shared" si="5"/>
        <v>2.786458448</v>
      </c>
      <c r="D36" s="14">
        <f t="shared" si="6"/>
        <v>0.675382006</v>
      </c>
      <c r="E36" s="14">
        <f t="shared" si="7"/>
        <v>0.7159559847</v>
      </c>
      <c r="F36" s="14">
        <f t="shared" si="8"/>
        <v>0.7381284937</v>
      </c>
      <c r="G36" s="14">
        <f t="shared" si="9"/>
        <v>1.231188289</v>
      </c>
      <c r="H36" s="14">
        <f t="shared" si="10"/>
        <v>1.212634408</v>
      </c>
      <c r="I36" s="14">
        <f t="shared" si="11"/>
        <v>1.038001348</v>
      </c>
      <c r="J36" s="14">
        <f t="shared" si="12"/>
        <v>0.6969225662</v>
      </c>
      <c r="K36" s="14">
        <f t="shared" si="13"/>
        <v>10.06175798</v>
      </c>
    </row>
    <row r="37">
      <c r="A37" s="7" t="s">
        <v>24</v>
      </c>
      <c r="B37" s="14">
        <f t="shared" si="4"/>
        <v>0.8939165708</v>
      </c>
      <c r="C37" s="14">
        <f t="shared" si="5"/>
        <v>1.049630719</v>
      </c>
      <c r="D37" s="14">
        <f t="shared" si="6"/>
        <v>0.6340460678</v>
      </c>
      <c r="E37" s="14">
        <f t="shared" si="7"/>
        <v>0.734892284</v>
      </c>
      <c r="F37" s="14">
        <f t="shared" si="8"/>
        <v>0.7925913453</v>
      </c>
      <c r="G37" s="14">
        <f t="shared" si="9"/>
        <v>1.571528156</v>
      </c>
      <c r="H37" s="14">
        <f t="shared" si="10"/>
        <v>1.291213973</v>
      </c>
      <c r="I37" s="14">
        <f t="shared" si="11"/>
        <v>0.8939961312</v>
      </c>
      <c r="J37" s="14">
        <f t="shared" si="12"/>
        <v>0.6022415734</v>
      </c>
      <c r="K37" s="14">
        <f t="shared" si="13"/>
        <v>8.464056821</v>
      </c>
    </row>
    <row r="38">
      <c r="A38" s="7" t="s">
        <v>25</v>
      </c>
      <c r="B38" s="14">
        <f t="shared" si="4"/>
        <v>0</v>
      </c>
      <c r="C38" s="14">
        <f t="shared" si="5"/>
        <v>0</v>
      </c>
      <c r="D38" s="14">
        <f t="shared" si="6"/>
        <v>0.3033958116</v>
      </c>
      <c r="E38" s="14">
        <f t="shared" si="7"/>
        <v>0.3450090763</v>
      </c>
      <c r="F38" s="14">
        <f t="shared" si="8"/>
        <v>0.9202050505</v>
      </c>
      <c r="G38" s="14">
        <f t="shared" si="9"/>
        <v>3.411661612</v>
      </c>
      <c r="H38" s="14">
        <f t="shared" si="10"/>
        <v>0.5043200017</v>
      </c>
      <c r="I38" s="14">
        <f t="shared" si="11"/>
        <v>0.2360900865</v>
      </c>
      <c r="J38" s="14">
        <f t="shared" si="12"/>
        <v>0.01999128318</v>
      </c>
      <c r="K38" s="14">
        <f t="shared" si="13"/>
        <v>5.740672922</v>
      </c>
    </row>
    <row r="39">
      <c r="A39" s="7" t="s">
        <v>26</v>
      </c>
      <c r="B39" s="14">
        <f t="shared" si="4"/>
        <v>0.6429021861</v>
      </c>
      <c r="C39" s="14">
        <f t="shared" si="5"/>
        <v>1.018127704</v>
      </c>
      <c r="D39" s="14">
        <f t="shared" si="6"/>
        <v>0.6131444724</v>
      </c>
      <c r="E39" s="14">
        <f t="shared" si="7"/>
        <v>1.286891671</v>
      </c>
      <c r="F39" s="14">
        <f t="shared" si="8"/>
        <v>0.9507661236</v>
      </c>
      <c r="G39" s="14">
        <f t="shared" si="9"/>
        <v>1.512523844</v>
      </c>
      <c r="H39" s="14">
        <f t="shared" si="10"/>
        <v>0.9301571251</v>
      </c>
      <c r="I39" s="14">
        <f t="shared" si="11"/>
        <v>1.105423302</v>
      </c>
      <c r="J39" s="14">
        <f t="shared" si="12"/>
        <v>0.444545522</v>
      </c>
      <c r="K39" s="14">
        <f t="shared" si="13"/>
        <v>8.50448195</v>
      </c>
    </row>
    <row r="40">
      <c r="A40" s="7" t="s">
        <v>27</v>
      </c>
      <c r="B40" s="14">
        <f t="shared" si="4"/>
        <v>1.027907828</v>
      </c>
      <c r="C40" s="14">
        <f t="shared" si="5"/>
        <v>0.9163751459</v>
      </c>
      <c r="D40" s="14">
        <f t="shared" si="6"/>
        <v>0.6745190392</v>
      </c>
      <c r="E40" s="14">
        <f t="shared" si="7"/>
        <v>1.029326039</v>
      </c>
      <c r="F40" s="14">
        <f t="shared" si="8"/>
        <v>0.8786677387</v>
      </c>
      <c r="G40" s="14">
        <f t="shared" si="9"/>
        <v>1.039908026</v>
      </c>
      <c r="H40" s="14">
        <f t="shared" si="10"/>
        <v>1.054261716</v>
      </c>
      <c r="I40" s="14">
        <f t="shared" si="11"/>
        <v>1.118817923</v>
      </c>
      <c r="J40" s="14">
        <f t="shared" si="12"/>
        <v>1.177027013</v>
      </c>
      <c r="K40" s="14">
        <f t="shared" si="13"/>
        <v>8.91681047</v>
      </c>
    </row>
    <row r="41">
      <c r="A41" s="7" t="s">
        <v>28</v>
      </c>
      <c r="B41" s="14">
        <f t="shared" si="4"/>
        <v>1.167649761</v>
      </c>
      <c r="C41" s="14">
        <f t="shared" si="5"/>
        <v>0.9212331584</v>
      </c>
      <c r="D41" s="14">
        <f t="shared" si="6"/>
        <v>0.9699322299</v>
      </c>
      <c r="E41" s="14">
        <f t="shared" si="7"/>
        <v>0.8269536192</v>
      </c>
      <c r="F41" s="14">
        <f t="shared" si="8"/>
        <v>0.9905152992</v>
      </c>
      <c r="G41" s="14">
        <f t="shared" si="9"/>
        <v>0.8580530397</v>
      </c>
      <c r="H41" s="14">
        <f t="shared" si="10"/>
        <v>1.355823368</v>
      </c>
      <c r="I41" s="14">
        <f t="shared" si="11"/>
        <v>1.188650003</v>
      </c>
      <c r="J41" s="14">
        <f t="shared" si="12"/>
        <v>0.9169091129</v>
      </c>
      <c r="K41" s="14">
        <f t="shared" si="13"/>
        <v>9.195719592</v>
      </c>
    </row>
    <row r="42">
      <c r="A42" s="7" t="s">
        <v>29</v>
      </c>
      <c r="B42" s="14">
        <f t="shared" si="4"/>
        <v>1.187931042</v>
      </c>
      <c r="C42" s="14">
        <f t="shared" si="5"/>
        <v>1.641751907</v>
      </c>
      <c r="D42" s="14">
        <f t="shared" si="6"/>
        <v>0.7607902302</v>
      </c>
      <c r="E42" s="14">
        <f t="shared" si="7"/>
        <v>0.6994787224</v>
      </c>
      <c r="F42" s="14">
        <f t="shared" si="8"/>
        <v>0.7415764157</v>
      </c>
      <c r="G42" s="14">
        <f t="shared" si="9"/>
        <v>1.135022896</v>
      </c>
      <c r="H42" s="14">
        <f t="shared" si="10"/>
        <v>1.47834344</v>
      </c>
      <c r="I42" s="14">
        <f t="shared" si="11"/>
        <v>1.031974968</v>
      </c>
      <c r="J42" s="14">
        <f t="shared" si="12"/>
        <v>0.6565001031</v>
      </c>
      <c r="K42" s="14">
        <f t="shared" si="13"/>
        <v>9.333369724</v>
      </c>
    </row>
    <row r="43">
      <c r="A43" s="7" t="s">
        <v>30</v>
      </c>
      <c r="B43" s="14">
        <f t="shared" si="4"/>
        <v>1.083626532</v>
      </c>
      <c r="C43" s="14">
        <f t="shared" si="5"/>
        <v>3.516001029</v>
      </c>
      <c r="D43" s="14">
        <f t="shared" si="6"/>
        <v>0.7900610763</v>
      </c>
      <c r="E43" s="14">
        <f t="shared" si="7"/>
        <v>0.737014172</v>
      </c>
      <c r="F43" s="14">
        <f t="shared" si="8"/>
        <v>1.05900752</v>
      </c>
      <c r="G43" s="14">
        <f t="shared" si="9"/>
        <v>0.7720371888</v>
      </c>
      <c r="H43" s="14">
        <f t="shared" si="10"/>
        <v>1.491102761</v>
      </c>
      <c r="I43" s="14">
        <f t="shared" si="11"/>
        <v>0.9553322297</v>
      </c>
      <c r="J43" s="14">
        <f t="shared" si="12"/>
        <v>0.9268851674</v>
      </c>
      <c r="K43" s="14">
        <f t="shared" si="13"/>
        <v>11.33106768</v>
      </c>
    </row>
    <row r="44">
      <c r="A44" s="7" t="s">
        <v>31</v>
      </c>
      <c r="B44" s="14">
        <f t="shared" si="4"/>
        <v>1.083957447</v>
      </c>
      <c r="C44" s="14">
        <f t="shared" si="5"/>
        <v>1.132932503</v>
      </c>
      <c r="D44" s="14">
        <f t="shared" si="6"/>
        <v>0.9115027912</v>
      </c>
      <c r="E44" s="14">
        <f t="shared" si="7"/>
        <v>0.8195782127</v>
      </c>
      <c r="F44" s="14">
        <f t="shared" si="8"/>
        <v>1.232431684</v>
      </c>
      <c r="G44" s="14">
        <f t="shared" si="9"/>
        <v>0.7869737766</v>
      </c>
      <c r="H44" s="14">
        <f t="shared" si="10"/>
        <v>1.367730174</v>
      </c>
      <c r="I44" s="14">
        <f t="shared" si="11"/>
        <v>1.115911059</v>
      </c>
      <c r="J44" s="14">
        <f t="shared" si="12"/>
        <v>1.167639116</v>
      </c>
      <c r="K44" s="14">
        <f t="shared" si="13"/>
        <v>9.618656764</v>
      </c>
    </row>
    <row r="45">
      <c r="A45" s="11" t="s">
        <v>32</v>
      </c>
      <c r="B45" s="14">
        <f t="shared" si="4"/>
        <v>1</v>
      </c>
      <c r="C45" s="14">
        <f t="shared" si="5"/>
        <v>1</v>
      </c>
      <c r="D45" s="14">
        <f t="shared" si="6"/>
        <v>1</v>
      </c>
      <c r="E45" s="14">
        <f t="shared" si="7"/>
        <v>1</v>
      </c>
      <c r="F45" s="14">
        <f t="shared" si="8"/>
        <v>1</v>
      </c>
      <c r="G45" s="14">
        <f t="shared" si="9"/>
        <v>1</v>
      </c>
      <c r="H45" s="14">
        <f t="shared" si="10"/>
        <v>1</v>
      </c>
      <c r="I45" s="14">
        <f t="shared" si="11"/>
        <v>1</v>
      </c>
      <c r="J45" s="14">
        <f t="shared" si="12"/>
        <v>1</v>
      </c>
      <c r="K45" s="14">
        <f t="shared" si="13"/>
        <v>9</v>
      </c>
    </row>
    <row r="46">
      <c r="B46" s="13"/>
      <c r="C46" s="13"/>
      <c r="E46" s="13"/>
      <c r="F46" s="13"/>
      <c r="G46" s="13"/>
      <c r="I46" s="13"/>
      <c r="J46" s="13"/>
    </row>
    <row r="47">
      <c r="A47" s="1" t="s">
        <v>34</v>
      </c>
      <c r="B47" s="13"/>
      <c r="C47" s="13"/>
      <c r="E47" s="13"/>
      <c r="F47" s="13"/>
      <c r="G47" s="13"/>
      <c r="I47" s="13"/>
      <c r="J47" s="13"/>
    </row>
    <row r="48">
      <c r="A48" s="3" t="s">
        <v>1</v>
      </c>
      <c r="B48" s="4" t="str">
        <f t="shared" ref="B48:J48" si="14">B2</f>
        <v>Baja California</v>
      </c>
      <c r="C48" s="4" t="str">
        <f t="shared" si="14"/>
        <v>Baja California Sur</v>
      </c>
      <c r="D48" s="4" t="str">
        <f t="shared" si="14"/>
        <v>Chihuahua</v>
      </c>
      <c r="E48" s="4" t="str">
        <f t="shared" si="14"/>
        <v> Coahuila</v>
      </c>
      <c r="F48" s="4" t="str">
        <f t="shared" si="14"/>
        <v>Durango</v>
      </c>
      <c r="G48" s="4" t="str">
        <f t="shared" si="14"/>
        <v>Nuevo León</v>
      </c>
      <c r="H48" s="4" t="str">
        <f t="shared" si="14"/>
        <v>Sinaloa</v>
      </c>
      <c r="I48" s="4" t="str">
        <f t="shared" si="14"/>
        <v>Sonora</v>
      </c>
      <c r="J48" s="4" t="str">
        <f t="shared" si="14"/>
        <v>Tamaulipas</v>
      </c>
      <c r="K48" s="6" t="s">
        <v>11</v>
      </c>
    </row>
    <row r="49">
      <c r="A49" s="7" t="s">
        <v>12</v>
      </c>
      <c r="B49" s="15">
        <f t="shared" ref="B49:B67" si="15">(B3/$B$22)^2</f>
        <v>0.00004927710145</v>
      </c>
      <c r="C49" s="15">
        <f t="shared" ref="C49:C67" si="16">(C3/$C$22)^2</f>
        <v>0.001034966977</v>
      </c>
      <c r="D49" s="15">
        <f t="shared" ref="D49:D67" si="17">(D3/$D$22)^2</f>
        <v>0.000002204851957</v>
      </c>
      <c r="E49" s="15">
        <f t="shared" ref="E49:E67" si="18">(E3/$E$22)^2</f>
        <v>0.0000003590694267</v>
      </c>
      <c r="F49" s="15">
        <f t="shared" ref="F49:F67" si="19">(F3/$F$22)^2</f>
        <v>0.000001934921258</v>
      </c>
      <c r="G49" s="15">
        <f t="shared" ref="G49:G67" si="20">(G3/$G$22)^2</f>
        <v>0.00000002306985746</v>
      </c>
      <c r="H49" s="15">
        <f t="shared" ref="H49:H67" si="21">(H3/$H$22)^2</f>
        <v>0.002986125679</v>
      </c>
      <c r="I49" s="15">
        <f t="shared" ref="I49:I67" si="22">(I3/$I$22)^2</f>
        <v>0.001354221613</v>
      </c>
      <c r="J49" s="15">
        <f t="shared" ref="J49:J67" si="23">(J3/$J$22)^2</f>
        <v>0.00007239282926</v>
      </c>
      <c r="K49" s="16">
        <f t="shared" ref="K49:K67" si="24">SUM(B49:J49)</f>
        <v>0.005501506112</v>
      </c>
    </row>
    <row r="50">
      <c r="A50" s="7" t="s">
        <v>13</v>
      </c>
      <c r="B50" s="15">
        <f t="shared" si="15"/>
        <v>0.0000007857965442</v>
      </c>
      <c r="C50" s="15">
        <f t="shared" si="16"/>
        <v>0.0003257131694</v>
      </c>
      <c r="D50" s="15">
        <f t="shared" si="17"/>
        <v>0.0002663513891</v>
      </c>
      <c r="E50" s="15">
        <f t="shared" si="18"/>
        <v>0.0003158856209</v>
      </c>
      <c r="F50" s="15">
        <f t="shared" si="19"/>
        <v>0.001771402856</v>
      </c>
      <c r="G50" s="15">
        <f t="shared" si="20"/>
        <v>0.000002828622154</v>
      </c>
      <c r="H50" s="15">
        <f t="shared" si="21"/>
        <v>0.00001998301886</v>
      </c>
      <c r="I50" s="15">
        <f t="shared" si="22"/>
        <v>0.0006783669994</v>
      </c>
      <c r="J50" s="15">
        <f t="shared" si="23"/>
        <v>0.00001077877877</v>
      </c>
      <c r="K50" s="16">
        <f t="shared" si="24"/>
        <v>0.003392096251</v>
      </c>
    </row>
    <row r="51">
      <c r="A51" s="7" t="s">
        <v>14</v>
      </c>
      <c r="B51" s="15">
        <f t="shared" si="15"/>
        <v>0</v>
      </c>
      <c r="C51" s="15">
        <f t="shared" si="16"/>
        <v>0.00006062301662</v>
      </c>
      <c r="D51" s="15">
        <f t="shared" si="17"/>
        <v>0.00002070185951</v>
      </c>
      <c r="E51" s="15">
        <f t="shared" si="18"/>
        <v>0.00001178779299</v>
      </c>
      <c r="F51" s="15">
        <f t="shared" si="19"/>
        <v>0.00002861062495</v>
      </c>
      <c r="G51" s="15">
        <f t="shared" si="20"/>
        <v>0.00001870011776</v>
      </c>
      <c r="H51" s="15">
        <f t="shared" si="21"/>
        <v>0.0000436652437</v>
      </c>
      <c r="I51" s="15">
        <f t="shared" si="22"/>
        <v>0.00007509289223</v>
      </c>
      <c r="J51" s="15">
        <f t="shared" si="23"/>
        <v>0.00005348297151</v>
      </c>
      <c r="K51" s="16">
        <f t="shared" si="24"/>
        <v>0.0003126645193</v>
      </c>
    </row>
    <row r="52">
      <c r="A52" s="7" t="s">
        <v>16</v>
      </c>
      <c r="B52" s="15">
        <f t="shared" si="15"/>
        <v>0.0004094152249</v>
      </c>
      <c r="C52" s="15">
        <f t="shared" si="16"/>
        <v>0.0025617723</v>
      </c>
      <c r="D52" s="15">
        <f t="shared" si="17"/>
        <v>0.000399240197</v>
      </c>
      <c r="E52" s="15">
        <f t="shared" si="18"/>
        <v>0.0007656993019</v>
      </c>
      <c r="F52" s="15">
        <f t="shared" si="19"/>
        <v>0.000849586241</v>
      </c>
      <c r="G52" s="15">
        <f t="shared" si="20"/>
        <v>0.0008281252746</v>
      </c>
      <c r="H52" s="15">
        <f t="shared" si="21"/>
        <v>0.002031841639</v>
      </c>
      <c r="I52" s="15">
        <f t="shared" si="22"/>
        <v>0.001130178963</v>
      </c>
      <c r="J52" s="15">
        <f t="shared" si="23"/>
        <v>0.0004775927306</v>
      </c>
      <c r="K52" s="16">
        <f t="shared" si="24"/>
        <v>0.009453451873</v>
      </c>
    </row>
    <row r="53">
      <c r="A53" s="7" t="s">
        <v>17</v>
      </c>
      <c r="B53" s="15">
        <f t="shared" si="15"/>
        <v>0.1685277358</v>
      </c>
      <c r="C53" s="15">
        <f t="shared" si="16"/>
        <v>0.002894480837</v>
      </c>
      <c r="D53" s="15">
        <f t="shared" si="17"/>
        <v>0.2293886742</v>
      </c>
      <c r="E53" s="15">
        <f t="shared" si="18"/>
        <v>0.1777012911</v>
      </c>
      <c r="F53" s="15">
        <f t="shared" si="19"/>
        <v>0.08229799917</v>
      </c>
      <c r="G53" s="15">
        <f t="shared" si="20"/>
        <v>0.09236533031</v>
      </c>
      <c r="H53" s="15">
        <f t="shared" si="21"/>
        <v>0.01595374699</v>
      </c>
      <c r="I53" s="15">
        <f t="shared" si="22"/>
        <v>0.08324368606</v>
      </c>
      <c r="J53" s="15">
        <f t="shared" si="23"/>
        <v>0.1571502202</v>
      </c>
      <c r="K53" s="16">
        <f t="shared" si="24"/>
        <v>1.009523165</v>
      </c>
    </row>
    <row r="54">
      <c r="A54" s="7" t="s">
        <v>18</v>
      </c>
      <c r="B54" s="15">
        <f t="shared" si="15"/>
        <v>0.002546287388</v>
      </c>
      <c r="C54" s="15">
        <f t="shared" si="16"/>
        <v>0.002871096973</v>
      </c>
      <c r="D54" s="15">
        <f t="shared" si="17"/>
        <v>0.001930730872</v>
      </c>
      <c r="E54" s="15">
        <f t="shared" si="18"/>
        <v>0.001677647116</v>
      </c>
      <c r="F54" s="15">
        <f t="shared" si="19"/>
        <v>0.002937099626</v>
      </c>
      <c r="G54" s="15">
        <f t="shared" si="20"/>
        <v>0.004025228675</v>
      </c>
      <c r="H54" s="15">
        <f t="shared" si="21"/>
        <v>0.005465842142</v>
      </c>
      <c r="I54" s="15">
        <f t="shared" si="22"/>
        <v>0.003080150275</v>
      </c>
      <c r="J54" s="15">
        <f t="shared" si="23"/>
        <v>0.001536936101</v>
      </c>
      <c r="K54" s="16">
        <f t="shared" si="24"/>
        <v>0.02607101917</v>
      </c>
    </row>
    <row r="55">
      <c r="A55" s="7" t="s">
        <v>19</v>
      </c>
      <c r="B55" s="15">
        <f t="shared" si="15"/>
        <v>0.0284808574</v>
      </c>
      <c r="C55" s="15">
        <f t="shared" si="16"/>
        <v>0.03964809295</v>
      </c>
      <c r="D55" s="15">
        <f t="shared" si="17"/>
        <v>0.02537283207</v>
      </c>
      <c r="E55" s="15">
        <f t="shared" si="18"/>
        <v>0.02271492292</v>
      </c>
      <c r="F55" s="15">
        <f t="shared" si="19"/>
        <v>0.04659632003</v>
      </c>
      <c r="G55" s="15">
        <f t="shared" si="20"/>
        <v>0.02130258507</v>
      </c>
      <c r="H55" s="15">
        <f t="shared" si="21"/>
        <v>0.05918587523</v>
      </c>
      <c r="I55" s="15">
        <f t="shared" si="22"/>
        <v>0.03324091631</v>
      </c>
      <c r="J55" s="15">
        <f t="shared" si="23"/>
        <v>0.03530821423</v>
      </c>
      <c r="K55" s="16">
        <f t="shared" si="24"/>
        <v>0.3118506162</v>
      </c>
    </row>
    <row r="56">
      <c r="A56" s="7" t="s">
        <v>20</v>
      </c>
      <c r="B56" s="15">
        <f t="shared" si="15"/>
        <v>0.001097004447</v>
      </c>
      <c r="C56" s="15">
        <f t="shared" si="16"/>
        <v>0.001242609732</v>
      </c>
      <c r="D56" s="15">
        <f t="shared" si="17"/>
        <v>0.0007522561452</v>
      </c>
      <c r="E56" s="15">
        <f t="shared" si="18"/>
        <v>0.0008503350403</v>
      </c>
      <c r="F56" s="15">
        <f t="shared" si="19"/>
        <v>0.001665881635</v>
      </c>
      <c r="G56" s="15">
        <f t="shared" si="20"/>
        <v>0.002594094295</v>
      </c>
      <c r="H56" s="15">
        <f t="shared" si="21"/>
        <v>0.001589722241</v>
      </c>
      <c r="I56" s="15">
        <f t="shared" si="22"/>
        <v>0.0005321618665</v>
      </c>
      <c r="J56" s="15">
        <f t="shared" si="23"/>
        <v>0.004174950723</v>
      </c>
      <c r="K56" s="16">
        <f t="shared" si="24"/>
        <v>0.01449901612</v>
      </c>
    </row>
    <row r="57">
      <c r="A57" s="7" t="s">
        <v>21</v>
      </c>
      <c r="B57" s="15">
        <f t="shared" si="15"/>
        <v>0.00003420885087</v>
      </c>
      <c r="C57" s="15">
        <f t="shared" si="16"/>
        <v>0.00004146733359</v>
      </c>
      <c r="D57" s="15">
        <f t="shared" si="17"/>
        <v>0.00006944881273</v>
      </c>
      <c r="E57" s="15">
        <f t="shared" si="18"/>
        <v>0.0000285605368</v>
      </c>
      <c r="F57" s="15">
        <f t="shared" si="19"/>
        <v>0.00002195113113</v>
      </c>
      <c r="G57" s="15">
        <f t="shared" si="20"/>
        <v>0.0001529888276</v>
      </c>
      <c r="H57" s="15">
        <f t="shared" si="21"/>
        <v>0.00003932674424</v>
      </c>
      <c r="I57" s="15">
        <f t="shared" si="22"/>
        <v>0.0000332121582</v>
      </c>
      <c r="J57" s="15">
        <f t="shared" si="23"/>
        <v>0.00008240696711</v>
      </c>
      <c r="K57" s="16">
        <f t="shared" si="24"/>
        <v>0.0005035713622</v>
      </c>
    </row>
    <row r="58">
      <c r="A58" s="7" t="s">
        <v>22</v>
      </c>
      <c r="B58" s="15">
        <f t="shared" si="15"/>
        <v>0.00003902390023</v>
      </c>
      <c r="C58" s="15">
        <f t="shared" si="16"/>
        <v>0.00002295127735</v>
      </c>
      <c r="D58" s="15">
        <f t="shared" si="17"/>
        <v>0.00002308223842</v>
      </c>
      <c r="E58" s="15">
        <f t="shared" si="18"/>
        <v>0.0001293168271</v>
      </c>
      <c r="F58" s="15">
        <f t="shared" si="19"/>
        <v>0.00005463381473</v>
      </c>
      <c r="G58" s="15">
        <f t="shared" si="20"/>
        <v>0.001617493572</v>
      </c>
      <c r="H58" s="15">
        <f t="shared" si="21"/>
        <v>0.0001009393489</v>
      </c>
      <c r="I58" s="15">
        <f t="shared" si="22"/>
        <v>0.00007996035076</v>
      </c>
      <c r="J58" s="15">
        <f t="shared" si="23"/>
        <v>0.00006161578552</v>
      </c>
      <c r="K58" s="16">
        <f t="shared" si="24"/>
        <v>0.002129017115</v>
      </c>
    </row>
    <row r="59">
      <c r="A59" s="7" t="s">
        <v>23</v>
      </c>
      <c r="B59" s="15">
        <f t="shared" si="15"/>
        <v>0.0001290447329</v>
      </c>
      <c r="C59" s="15">
        <f t="shared" si="16"/>
        <v>0.001071309218</v>
      </c>
      <c r="D59" s="15">
        <f t="shared" si="17"/>
        <v>0.00006293738158</v>
      </c>
      <c r="E59" s="15">
        <f t="shared" si="18"/>
        <v>0.0000707265293</v>
      </c>
      <c r="F59" s="15">
        <f t="shared" si="19"/>
        <v>0.00007517503527</v>
      </c>
      <c r="G59" s="15">
        <f t="shared" si="20"/>
        <v>0.0002091503767</v>
      </c>
      <c r="H59" s="15">
        <f t="shared" si="21"/>
        <v>0.0002028941257</v>
      </c>
      <c r="I59" s="15">
        <f t="shared" si="22"/>
        <v>0.0001486639044</v>
      </c>
      <c r="J59" s="15">
        <f t="shared" si="23"/>
        <v>0.00006701603877</v>
      </c>
      <c r="K59" s="16">
        <f t="shared" si="24"/>
        <v>0.002036917343</v>
      </c>
    </row>
    <row r="60">
      <c r="A60" s="7" t="s">
        <v>24</v>
      </c>
      <c r="B60" s="15">
        <f t="shared" si="15"/>
        <v>0.0005465695751</v>
      </c>
      <c r="C60" s="15">
        <f t="shared" si="16"/>
        <v>0.0007535716338</v>
      </c>
      <c r="D60" s="15">
        <f t="shared" si="17"/>
        <v>0.0002749749324</v>
      </c>
      <c r="E60" s="15">
        <f t="shared" si="18"/>
        <v>0.0003694016678</v>
      </c>
      <c r="F60" s="15">
        <f t="shared" si="19"/>
        <v>0.000429684936</v>
      </c>
      <c r="G60" s="15">
        <f t="shared" si="20"/>
        <v>0.001689257321</v>
      </c>
      <c r="H60" s="15">
        <f t="shared" si="21"/>
        <v>0.001140375586</v>
      </c>
      <c r="I60" s="15">
        <f t="shared" si="22"/>
        <v>0.000546666871</v>
      </c>
      <c r="J60" s="15">
        <f t="shared" si="23"/>
        <v>0.0002480806785</v>
      </c>
      <c r="K60" s="16">
        <f t="shared" si="24"/>
        <v>0.005998583202</v>
      </c>
    </row>
    <row r="61">
      <c r="A61" s="7" t="s">
        <v>25</v>
      </c>
      <c r="B61" s="15">
        <f t="shared" si="15"/>
        <v>0</v>
      </c>
      <c r="C61" s="15">
        <f t="shared" si="16"/>
        <v>0</v>
      </c>
      <c r="D61" s="15">
        <f t="shared" si="17"/>
        <v>0.0000001381572696</v>
      </c>
      <c r="E61" s="15">
        <f t="shared" si="18"/>
        <v>0.0000001786551831</v>
      </c>
      <c r="F61" s="15">
        <f t="shared" si="19"/>
        <v>0.00000127093636</v>
      </c>
      <c r="G61" s="15">
        <f t="shared" si="20"/>
        <v>0.00001746974144</v>
      </c>
      <c r="H61" s="15">
        <f t="shared" si="21"/>
        <v>0.0000003817393815</v>
      </c>
      <c r="I61" s="15">
        <f t="shared" si="22"/>
        <v>0.00000008365850172</v>
      </c>
      <c r="J61" s="15">
        <f t="shared" si="23"/>
        <v>0.0000000005998406889</v>
      </c>
      <c r="K61" s="16">
        <f t="shared" si="24"/>
        <v>0.00001952348798</v>
      </c>
    </row>
    <row r="62">
      <c r="A62" s="7" t="s">
        <v>26</v>
      </c>
      <c r="B62" s="15">
        <f t="shared" si="15"/>
        <v>0.002999720278</v>
      </c>
      <c r="C62" s="15">
        <f t="shared" si="16"/>
        <v>0.007523076253</v>
      </c>
      <c r="D62" s="15">
        <f t="shared" si="17"/>
        <v>0.002728453701</v>
      </c>
      <c r="E62" s="15">
        <f t="shared" si="18"/>
        <v>0.01201918262</v>
      </c>
      <c r="F62" s="15">
        <f t="shared" si="19"/>
        <v>0.006560521336</v>
      </c>
      <c r="G62" s="15">
        <f t="shared" si="20"/>
        <v>0.01660333816</v>
      </c>
      <c r="H62" s="15">
        <f t="shared" si="21"/>
        <v>0.006279189477</v>
      </c>
      <c r="I62" s="15">
        <f t="shared" si="22"/>
        <v>0.008868459445</v>
      </c>
      <c r="J62" s="15">
        <f t="shared" si="23"/>
        <v>0.001434245294</v>
      </c>
      <c r="K62" s="16">
        <f t="shared" si="24"/>
        <v>0.06501618657</v>
      </c>
    </row>
    <row r="63">
      <c r="A63" s="7" t="s">
        <v>27</v>
      </c>
      <c r="B63" s="15">
        <f t="shared" si="15"/>
        <v>0.0007004167669</v>
      </c>
      <c r="C63" s="15">
        <f t="shared" si="16"/>
        <v>0.0005566661204</v>
      </c>
      <c r="D63" s="15">
        <f t="shared" si="17"/>
        <v>0.0003016036634</v>
      </c>
      <c r="E63" s="15">
        <f t="shared" si="18"/>
        <v>0.0007023508394</v>
      </c>
      <c r="F63" s="15">
        <f t="shared" si="19"/>
        <v>0.0005117967799</v>
      </c>
      <c r="G63" s="15">
        <f t="shared" si="20"/>
        <v>0.0007168661059</v>
      </c>
      <c r="H63" s="15">
        <f t="shared" si="21"/>
        <v>0.0007367922672</v>
      </c>
      <c r="I63" s="15">
        <f t="shared" si="22"/>
        <v>0.0008297877459</v>
      </c>
      <c r="J63" s="15">
        <f t="shared" si="23"/>
        <v>0.0009183771026</v>
      </c>
      <c r="K63" s="16">
        <f t="shared" si="24"/>
        <v>0.005974657392</v>
      </c>
    </row>
    <row r="64">
      <c r="A64" s="7" t="s">
        <v>28</v>
      </c>
      <c r="B64" s="15">
        <f t="shared" si="15"/>
        <v>0.0009872165477</v>
      </c>
      <c r="C64" s="15">
        <f t="shared" si="16"/>
        <v>0.0006145063279</v>
      </c>
      <c r="D64" s="15">
        <f t="shared" si="17"/>
        <v>0.0006811927518</v>
      </c>
      <c r="E64" s="15">
        <f t="shared" si="18"/>
        <v>0.0004951645457</v>
      </c>
      <c r="F64" s="15">
        <f t="shared" si="19"/>
        <v>0.0007104108938</v>
      </c>
      <c r="G64" s="15">
        <f t="shared" si="20"/>
        <v>0.0005331083747</v>
      </c>
      <c r="H64" s="15">
        <f t="shared" si="21"/>
        <v>0.001331047231</v>
      </c>
      <c r="I64" s="15">
        <f t="shared" si="22"/>
        <v>0.001023046157</v>
      </c>
      <c r="J64" s="15">
        <f t="shared" si="23"/>
        <v>0.0006087511784</v>
      </c>
      <c r="K64" s="16">
        <f t="shared" si="24"/>
        <v>0.006984444008</v>
      </c>
    </row>
    <row r="65">
      <c r="A65" s="7" t="s">
        <v>29</v>
      </c>
      <c r="B65" s="15">
        <f t="shared" si="15"/>
        <v>0.0001056210022</v>
      </c>
      <c r="C65" s="15">
        <f t="shared" si="16"/>
        <v>0.0002017357563</v>
      </c>
      <c r="D65" s="15">
        <f t="shared" si="17"/>
        <v>0.00004332092046</v>
      </c>
      <c r="E65" s="15">
        <f t="shared" si="18"/>
        <v>0.00003661987337</v>
      </c>
      <c r="F65" s="15">
        <f t="shared" si="19"/>
        <v>0.00004116040515</v>
      </c>
      <c r="G65" s="15">
        <f t="shared" si="20"/>
        <v>0.00009642220665</v>
      </c>
      <c r="H65" s="15">
        <f t="shared" si="21"/>
        <v>0.0001635755913</v>
      </c>
      <c r="I65" s="15">
        <f t="shared" si="22"/>
        <v>0.00007970877741</v>
      </c>
      <c r="J65" s="15">
        <f t="shared" si="23"/>
        <v>0.00003225799863</v>
      </c>
      <c r="K65" s="16">
        <f t="shared" si="24"/>
        <v>0.0008004225316</v>
      </c>
    </row>
    <row r="66">
      <c r="A66" s="7" t="s">
        <v>30</v>
      </c>
      <c r="B66" s="15">
        <f t="shared" si="15"/>
        <v>0.00695106717</v>
      </c>
      <c r="C66" s="15">
        <f t="shared" si="16"/>
        <v>0.07317963053</v>
      </c>
      <c r="D66" s="15">
        <f t="shared" si="17"/>
        <v>0.003694992468</v>
      </c>
      <c r="E66" s="15">
        <f t="shared" si="18"/>
        <v>0.003215465863</v>
      </c>
      <c r="F66" s="15">
        <f t="shared" si="19"/>
        <v>0.006638811132</v>
      </c>
      <c r="G66" s="15">
        <f t="shared" si="20"/>
        <v>0.00352832569</v>
      </c>
      <c r="H66" s="15">
        <f t="shared" si="21"/>
        <v>0.01316156018</v>
      </c>
      <c r="I66" s="15">
        <f t="shared" si="22"/>
        <v>0.005402578484</v>
      </c>
      <c r="J66" s="15">
        <f t="shared" si="23"/>
        <v>0.005085622152</v>
      </c>
      <c r="K66" s="16">
        <f t="shared" si="24"/>
        <v>0.1208580537</v>
      </c>
    </row>
    <row r="67">
      <c r="A67" s="7" t="s">
        <v>31</v>
      </c>
      <c r="B67" s="15">
        <f t="shared" si="15"/>
        <v>0.003119694105</v>
      </c>
      <c r="C67" s="15">
        <f t="shared" si="16"/>
        <v>0.00340796887</v>
      </c>
      <c r="D67" s="15">
        <f t="shared" si="17"/>
        <v>0.002205990061</v>
      </c>
      <c r="E67" s="15">
        <f t="shared" si="18"/>
        <v>0.001783480459</v>
      </c>
      <c r="F67" s="15">
        <f t="shared" si="19"/>
        <v>0.004032861016</v>
      </c>
      <c r="G67" s="15">
        <f t="shared" si="20"/>
        <v>0.001644402271</v>
      </c>
      <c r="H67" s="15">
        <f t="shared" si="21"/>
        <v>0.004966934144</v>
      </c>
      <c r="I67" s="15">
        <f t="shared" si="22"/>
        <v>0.003306333892</v>
      </c>
      <c r="J67" s="15">
        <f t="shared" si="23"/>
        <v>0.003619968712</v>
      </c>
      <c r="K67" s="16">
        <f t="shared" si="24"/>
        <v>0.02808763353</v>
      </c>
    </row>
    <row r="68">
      <c r="A68" s="11" t="s">
        <v>32</v>
      </c>
      <c r="B68" s="15">
        <f t="shared" ref="B68:K68" si="25">SUM(B49:B67)</f>
        <v>0.2167239461</v>
      </c>
      <c r="C68" s="15">
        <f t="shared" si="25"/>
        <v>0.1380122393</v>
      </c>
      <c r="D68" s="15">
        <f t="shared" si="25"/>
        <v>0.2682191266</v>
      </c>
      <c r="E68" s="15">
        <f t="shared" si="25"/>
        <v>0.2228883764</v>
      </c>
      <c r="F68" s="15">
        <f t="shared" si="25"/>
        <v>0.1552271125</v>
      </c>
      <c r="G68" s="15">
        <f t="shared" si="25"/>
        <v>0.1479457381</v>
      </c>
      <c r="H68" s="15">
        <f t="shared" si="25"/>
        <v>0.1153998186</v>
      </c>
      <c r="I68" s="15">
        <f t="shared" si="25"/>
        <v>0.1436532764</v>
      </c>
      <c r="J68" s="15">
        <f t="shared" si="25"/>
        <v>0.2109429111</v>
      </c>
      <c r="K68" s="17">
        <f t="shared" si="25"/>
        <v>1.619012545</v>
      </c>
    </row>
    <row r="69">
      <c r="K69" s="18"/>
      <c r="L69" s="19"/>
      <c r="M69" s="19"/>
    </row>
    <row r="70">
      <c r="A70" s="1"/>
      <c r="K70" s="19"/>
      <c r="L70" s="19"/>
      <c r="M70" s="19"/>
    </row>
    <row r="71">
      <c r="A71" s="1" t="s">
        <v>35</v>
      </c>
      <c r="E71" s="20"/>
      <c r="G71" s="13"/>
      <c r="H71" s="13"/>
      <c r="I71" s="20"/>
      <c r="J71" s="19"/>
      <c r="K71" s="19"/>
      <c r="L71" s="19"/>
      <c r="M71" s="19"/>
    </row>
    <row r="72">
      <c r="A72" s="3" t="s">
        <v>1</v>
      </c>
      <c r="B72" s="4" t="str">
        <f t="shared" ref="B72:J72" si="26">B2</f>
        <v>Baja California</v>
      </c>
      <c r="C72" s="4" t="str">
        <f t="shared" si="26"/>
        <v>Baja California Sur</v>
      </c>
      <c r="D72" s="4" t="str">
        <f t="shared" si="26"/>
        <v>Chihuahua</v>
      </c>
      <c r="E72" s="4" t="str">
        <f t="shared" si="26"/>
        <v> Coahuila</v>
      </c>
      <c r="F72" s="4" t="str">
        <f t="shared" si="26"/>
        <v>Durango</v>
      </c>
      <c r="G72" s="4" t="str">
        <f t="shared" si="26"/>
        <v>Nuevo León</v>
      </c>
      <c r="H72" s="4" t="str">
        <f t="shared" si="26"/>
        <v>Sinaloa</v>
      </c>
      <c r="I72" s="4" t="str">
        <f t="shared" si="26"/>
        <v>Sonora</v>
      </c>
      <c r="J72" s="4" t="str">
        <f t="shared" si="26"/>
        <v>Tamaulipas</v>
      </c>
      <c r="K72" s="19"/>
      <c r="L72" s="19"/>
      <c r="M72" s="19"/>
    </row>
    <row r="73">
      <c r="A73" s="21" t="s">
        <v>36</v>
      </c>
      <c r="B73" s="22">
        <f t="shared" ref="B73:J73" si="27">B68*10000</f>
        <v>2167.239461</v>
      </c>
      <c r="C73" s="22">
        <f t="shared" si="27"/>
        <v>1380.122393</v>
      </c>
      <c r="D73" s="22">
        <f t="shared" si="27"/>
        <v>2682.191266</v>
      </c>
      <c r="E73" s="22">
        <f t="shared" si="27"/>
        <v>2228.883764</v>
      </c>
      <c r="F73" s="22">
        <f t="shared" si="27"/>
        <v>1552.271125</v>
      </c>
      <c r="G73" s="22">
        <f t="shared" si="27"/>
        <v>1479.457381</v>
      </c>
      <c r="H73" s="22">
        <f t="shared" si="27"/>
        <v>1153.998186</v>
      </c>
      <c r="I73" s="22">
        <f t="shared" si="27"/>
        <v>1436.532764</v>
      </c>
      <c r="J73" s="22">
        <f t="shared" si="27"/>
        <v>2109.429111</v>
      </c>
      <c r="K73" s="19"/>
      <c r="L73" s="19"/>
      <c r="M73" s="19"/>
    </row>
    <row r="74">
      <c r="A74" s="21" t="s">
        <v>37</v>
      </c>
      <c r="B74" s="22">
        <f t="shared" ref="B74:J74" si="28">1/B68</f>
        <v>4.614164784</v>
      </c>
      <c r="C74" s="22">
        <f t="shared" si="28"/>
        <v>7.245734184</v>
      </c>
      <c r="D74" s="22">
        <f t="shared" si="28"/>
        <v>3.728294893</v>
      </c>
      <c r="E74" s="22">
        <f t="shared" si="28"/>
        <v>4.486550696</v>
      </c>
      <c r="F74" s="22">
        <f t="shared" si="28"/>
        <v>6.44217356</v>
      </c>
      <c r="G74" s="22">
        <f t="shared" si="28"/>
        <v>6.759234926</v>
      </c>
      <c r="H74" s="22">
        <f t="shared" si="28"/>
        <v>8.665524885</v>
      </c>
      <c r="I74" s="22">
        <f t="shared" si="28"/>
        <v>6.961205653</v>
      </c>
      <c r="J74" s="22">
        <f t="shared" si="28"/>
        <v>4.740619132</v>
      </c>
      <c r="K74" s="19"/>
      <c r="L74" s="19"/>
      <c r="M74" s="19"/>
    </row>
    <row r="75">
      <c r="E75" s="20"/>
      <c r="F75" s="20"/>
      <c r="G75" s="13"/>
      <c r="H75" s="13"/>
      <c r="I75" s="20"/>
      <c r="J75" s="19"/>
      <c r="K75" s="19"/>
      <c r="L75" s="19"/>
      <c r="M75" s="19"/>
    </row>
    <row r="76">
      <c r="E76" s="20"/>
      <c r="F76" s="23"/>
      <c r="G76" s="13"/>
      <c r="H76" s="13"/>
      <c r="J76" s="19"/>
      <c r="K76" s="19"/>
      <c r="L76" s="19"/>
      <c r="M76" s="19"/>
    </row>
    <row r="77">
      <c r="C77" s="20"/>
      <c r="D77" s="23"/>
      <c r="E77" s="20"/>
      <c r="G77" s="13"/>
      <c r="H77" s="13"/>
      <c r="I77" s="20"/>
      <c r="J77" s="19"/>
      <c r="K77" s="19"/>
      <c r="L77" s="19"/>
      <c r="M77" s="19"/>
    </row>
    <row r="78">
      <c r="C78" s="20"/>
      <c r="E78" s="13"/>
      <c r="F78" s="13"/>
      <c r="H78" s="19"/>
      <c r="I78" s="19"/>
      <c r="J78" s="19"/>
      <c r="K78" s="19"/>
    </row>
    <row r="79">
      <c r="C79" s="20"/>
      <c r="D79" s="23"/>
      <c r="E79" s="13"/>
      <c r="F79" s="13"/>
      <c r="G79" s="20"/>
      <c r="H79" s="19"/>
      <c r="I79" s="19"/>
      <c r="J79" s="19"/>
      <c r="K79" s="19"/>
    </row>
    <row r="80">
      <c r="E80" s="13"/>
      <c r="F80" s="13"/>
      <c r="G80" s="20"/>
      <c r="H80" s="19"/>
      <c r="I80" s="19"/>
      <c r="J80" s="19"/>
      <c r="K80" s="19"/>
    </row>
    <row r="81">
      <c r="E81" s="20"/>
      <c r="G81" s="13"/>
      <c r="H81" s="13"/>
      <c r="I81" s="20"/>
      <c r="J81" s="19"/>
      <c r="K81" s="19"/>
      <c r="L81" s="19"/>
      <c r="M81" s="19"/>
    </row>
    <row r="82">
      <c r="E82" s="20"/>
      <c r="F82" s="23"/>
      <c r="G82" s="13"/>
      <c r="H82" s="13"/>
      <c r="J82" s="19"/>
      <c r="K82" s="19"/>
      <c r="L82" s="19"/>
      <c r="M82" s="19"/>
    </row>
    <row r="83">
      <c r="E83" s="20"/>
      <c r="G83" s="13"/>
      <c r="H83" s="13"/>
      <c r="I83" s="20"/>
      <c r="J83" s="19"/>
      <c r="K83" s="19"/>
      <c r="L83" s="19"/>
      <c r="M83" s="19"/>
    </row>
    <row r="84">
      <c r="E84" s="20"/>
      <c r="F84" s="13"/>
      <c r="G84" s="13"/>
      <c r="H84" s="13"/>
      <c r="J84" s="19"/>
      <c r="K84" s="19"/>
      <c r="L84" s="19"/>
      <c r="M84" s="19"/>
    </row>
    <row r="85">
      <c r="E85" s="20"/>
      <c r="F85" s="13"/>
      <c r="G85" s="13"/>
      <c r="H85" s="13"/>
      <c r="I85" s="20"/>
      <c r="J85" s="19"/>
      <c r="K85" s="19"/>
      <c r="L85" s="19"/>
      <c r="M85" s="19"/>
    </row>
    <row r="86">
      <c r="E86" s="20"/>
      <c r="F86" s="13"/>
      <c r="G86" s="13"/>
      <c r="H86" s="13"/>
      <c r="J86" s="19"/>
      <c r="K86" s="19"/>
      <c r="L86" s="19"/>
      <c r="M86" s="19"/>
    </row>
    <row r="87">
      <c r="I87" s="20"/>
    </row>
  </sheetData>
  <conditionalFormatting sqref="B26:J45 B49:J68 K68">
    <cfRule type="cellIs" dxfId="0" priority="1" operator="equal">
      <formula>0</formula>
    </cfRule>
  </conditionalFormatting>
  <drawing r:id="rId1"/>
</worksheet>
</file>